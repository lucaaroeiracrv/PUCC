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  <sheet name="Sprint Back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<sst xmlns="http://schemas.openxmlformats.org/spreadsheetml/2006/main" count="199" uniqueCount="113">
  <si>
    <t xml:space="preserve">SAGA</t>
  </si>
  <si>
    <t xml:space="preserve">ÉPICO</t>
  </si>
  <si>
    <t xml:space="preserve">HISTÓRIA DE USUÁRIO</t>
  </si>
  <si>
    <t xml:space="preserve">PRIORIDADE</t>
  </si>
  <si>
    <t xml:space="preserve">ESFORÇO</t>
  </si>
  <si>
    <t xml:space="preserve">SPRINT</t>
  </si>
  <si>
    <t xml:space="preserve">1.Gestão de Pedidos</t>
  </si>
  <si>
    <t xml:space="preserve">1.Criação e validação do pedido</t>
  </si>
  <si>
    <t xml:space="preserve">1. Cadastrar cliente</t>
  </si>
  <si>
    <t xml:space="preserve">Alta</t>
  </si>
  <si>
    <t xml:space="preserve">2. Encontrar cliente</t>
  </si>
  <si>
    <t xml:space="preserve">3. Criar pedido de compra</t>
  </si>
  <si>
    <t xml:space="preserve">2.Confirmação de pedido</t>
  </si>
  <si>
    <t xml:space="preserve">4. Validar disponibilidade de estoque do pedido</t>
  </si>
  <si>
    <t xml:space="preserve">5. Calcular valor total do pedido (itens, frete e impostos)</t>
  </si>
  <si>
    <t xml:space="preserve">6. Confirmar pedido e reservar estoque</t>
  </si>
  <si>
    <t xml:space="preserve">3.Cancelamento de pedido</t>
  </si>
  <si>
    <t xml:space="preserve">7. Solicitar cancelamento de pedido</t>
  </si>
  <si>
    <t xml:space="preserve">8. Validar regras de cancelamento (prazo e status do pedido)</t>
  </si>
  <si>
    <t xml:space="preserve">9. Cancelar pedido e registrar o motivo</t>
  </si>
  <si>
    <t xml:space="preserve">2.Gestão de Crédito</t>
  </si>
  <si>
    <t xml:space="preserve">1.Cadastro do limite de crédito</t>
  </si>
  <si>
    <t xml:space="preserve">10. Cadastrar limite de crédito do cliente</t>
  </si>
  <si>
    <t xml:space="preserve">11. Consultar limite e saldo de crédito disponível</t>
  </si>
  <si>
    <t xml:space="preserve">2.Análise de crédito do pedido</t>
  </si>
  <si>
    <t xml:space="preserve">12. Analisar automaticamente o crédito do pedido</t>
  </si>
  <si>
    <t xml:space="preserve">13. Aprovar pedido dentro do limite disponível</t>
  </si>
  <si>
    <t xml:space="preserve">14. Reprovar pedido sem limite disponível</t>
  </si>
  <si>
    <t xml:space="preserve">3.Reserva e liberação de crédito</t>
  </si>
  <si>
    <t xml:space="preserve">15. Reservar crédito na confirmação do pedido</t>
  </si>
  <si>
    <t xml:space="preserve">16. Liberar crédito no cancelamento do pedido</t>
  </si>
  <si>
    <t xml:space="preserve">4.Bloqueio e desbloqueio de cliente</t>
  </si>
  <si>
    <t xml:space="preserve">17. Bloquear cliente inadimplente</t>
  </si>
  <si>
    <t xml:space="preserve">18. Editar cliente</t>
  </si>
  <si>
    <t xml:space="preserve">Média</t>
  </si>
  <si>
    <t xml:space="preserve">19. Criar pedido de devolução</t>
  </si>
  <si>
    <t xml:space="preserve">20. Aplicar regras de desconto e condição de pagamento</t>
  </si>
  <si>
    <t xml:space="preserve">21. Estornar a reserva de estoque do pedido cancelado</t>
  </si>
  <si>
    <t xml:space="preserve">4.Pedidos cancelados</t>
  </si>
  <si>
    <t xml:space="preserve">22. Listar pedidos cancelados</t>
  </si>
  <si>
    <t xml:space="preserve">23. Filtrar pedidos cancelados por período, cliente e motivo</t>
  </si>
  <si>
    <t xml:space="preserve">24. Editar limite de crédito do cliente</t>
  </si>
  <si>
    <t xml:space="preserve">25. Registrar histórico das análises de crédito</t>
  </si>
  <si>
    <t xml:space="preserve">26. Liberar crédito após o faturamento e a baixa do pagamento</t>
  </si>
  <si>
    <t xml:space="preserve">27. Desbloquear cliente após regularização</t>
  </si>
  <si>
    <t xml:space="preserve">28. Notificar cliente sobre a confirmação do pedido</t>
  </si>
  <si>
    <t xml:space="preserve">Baixa</t>
  </si>
  <si>
    <t xml:space="preserve">29. Notificar cliente sobre o cancelamento</t>
  </si>
  <si>
    <t xml:space="preserve">30. Consultar detalhes e histórico do pedido cancelado</t>
  </si>
  <si>
    <t xml:space="preserve">31. Exportar relatório de pedidos cancelados</t>
  </si>
  <si>
    <t xml:space="preserve">32. Consultar relação de clientes bloqueados</t>
  </si>
  <si>
    <t xml:space="preserve">Total de Story Points do escopo detalhado</t>
  </si>
  <si>
    <t xml:space="preserve">SAGAS AINDA NÃO DETALHADAS (fora do escopo desta entrega)</t>
  </si>
  <si>
    <t xml:space="preserve">3.Atendimento de Pedidos</t>
  </si>
  <si>
    <t xml:space="preserve">A detalhar</t>
  </si>
  <si>
    <t xml:space="preserve">4.Expedição</t>
  </si>
  <si>
    <t xml:space="preserve">5.Faturamento</t>
  </si>
  <si>
    <t xml:space="preserve">6.Contas a Pagar</t>
  </si>
  <si>
    <t xml:space="preserve">7.Cobrança</t>
  </si>
  <si>
    <t xml:space="preserve">8.Relatórios e Gestão de Dados</t>
  </si>
  <si>
    <t xml:space="preserve">SPRINT 1 - Épico 1: Criação e validação do pedido</t>
  </si>
  <si>
    <t xml:space="preserve">Time</t>
  </si>
  <si>
    <t xml:space="preserve">Time único (5 pessoas: 1 PO, 1 Scrum Master, 3 desenvolvedores)</t>
  </si>
  <si>
    <t xml:space="preserve">Sprint</t>
  </si>
  <si>
    <t xml:space="preserve">Sprint 1 (4 semanas)</t>
  </si>
  <si>
    <t xml:space="preserve">Velocidade planejada</t>
  </si>
  <si>
    <t xml:space="preserve">13 Story Points por sprint</t>
  </si>
  <si>
    <t xml:space="preserve">Meta da Sprint</t>
  </si>
  <si>
    <t xml:space="preserve">Permitir o cadastro e a busca de clientes, base para a criação do pedido.</t>
  </si>
  <si>
    <t xml:space="preserve">História de Usuário</t>
  </si>
  <si>
    <t xml:space="preserve">Story Points</t>
  </si>
  <si>
    <t xml:space="preserve">Tarefa da Sprint</t>
  </si>
  <si>
    <t xml:space="preserve">Responsável</t>
  </si>
  <si>
    <t xml:space="preserve">Status</t>
  </si>
  <si>
    <t xml:space="preserve">1. Tela de cadastro de clientes</t>
  </si>
  <si>
    <t xml:space="preserve">A fazer</t>
  </si>
  <si>
    <t xml:space="preserve">2. Validação dos dados de entrada</t>
  </si>
  <si>
    <t xml:space="preserve">3. Criação da tabela Cliente no BD</t>
  </si>
  <si>
    <t xml:space="preserve">4. Armazenamento dos dados na tabela</t>
  </si>
  <si>
    <t xml:space="preserve">1. Tela de busca de cliente</t>
  </si>
  <si>
    <t xml:space="preserve">3. Script de busca na tabela Cliente</t>
  </si>
  <si>
    <t xml:space="preserve">4. Exibir dados do cliente ou mensagem de erro</t>
  </si>
  <si>
    <t xml:space="preserve">TOTAL DA SPRINT</t>
  </si>
  <si>
    <t xml:space="preserve">PLANO DE SPRINTS</t>
  </si>
  <si>
    <t xml:space="preserve">Duração</t>
  </si>
  <si>
    <t xml:space="preserve">Story Points comprometidos</t>
  </si>
  <si>
    <t xml:space="preserve">Épicos da sprint</t>
  </si>
  <si>
    <t xml:space="preserve">Sprint 1</t>
  </si>
  <si>
    <t xml:space="preserve">4 semanas</t>
  </si>
  <si>
    <t xml:space="preserve">Sprint 2</t>
  </si>
  <si>
    <t xml:space="preserve">Sprint 3</t>
  </si>
  <si>
    <t xml:space="preserve">Sprint 4</t>
  </si>
  <si>
    <t xml:space="preserve">2.Confirmação de pedido | 3.Cancelamento de pedido</t>
  </si>
  <si>
    <t xml:space="preserve">Sprint 5</t>
  </si>
  <si>
    <t xml:space="preserve">Sprint 6</t>
  </si>
  <si>
    <t xml:space="preserve">Sprint 7</t>
  </si>
  <si>
    <t xml:space="preserve">Sprint 8</t>
  </si>
  <si>
    <t xml:space="preserve">2.Análise de crédito do pedido | 3.Reserva e liberação de crédito</t>
  </si>
  <si>
    <t xml:space="preserve">Sprint 9</t>
  </si>
  <si>
    <t xml:space="preserve">3.Reserva e liberação de crédito | 4.Bloqueio e desbloqueio de cliente | 1.Criação e validação do pedido</t>
  </si>
  <si>
    <t xml:space="preserve">Sprint 10</t>
  </si>
  <si>
    <t xml:space="preserve">1.Criação e validação do pedido | 2.Confirmação de pedido</t>
  </si>
  <si>
    <t xml:space="preserve">Sprint 11</t>
  </si>
  <si>
    <t xml:space="preserve">3.Cancelamento de pedido | 4.Pedidos cancelados</t>
  </si>
  <si>
    <t xml:space="preserve">Sprint 12</t>
  </si>
  <si>
    <t xml:space="preserve">1.Cadastro do limite de crédito | 2.Análise de crédito do pedido | 3.Reserva e liberação de crédito</t>
  </si>
  <si>
    <t xml:space="preserve">Sprint 13</t>
  </si>
  <si>
    <t xml:space="preserve">4.Bloqueio e desbloqueio de cliente | 2.Confirmação de pedido | 3.Cancelamento de pedido | 4.Pedidos cancelados</t>
  </si>
  <si>
    <t xml:space="preserve">Sprint 14</t>
  </si>
  <si>
    <t xml:space="preserve">4.Pedidos cancelados | 4.Bloqueio e desbloqueio de cliente</t>
  </si>
  <si>
    <t xml:space="preserve">TOTAL</t>
  </si>
  <si>
    <t xml:space="preserve">56 semanas</t>
  </si>
  <si>
    <t xml:space="preserve">14 sprints no escopo detalhado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</si>
</sst>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3" activePane="bottomLeft" state="frozen"/>
      <selection pane="topLeft" activeCell="A1" activeCellId="0" sqref="A1"/>
      <selection pane="bottomLeft" activeCell="G1" activeCellId="0" sqref="G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25" min="7" style="0" width="8.71"/>
    <col collapsed="false" customWidth="true" hidden="false" outlineLevel="0" max="16384" min="16384" style="0" width="10.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true" outlineLevel="0" collapsed="false">
      <c r="A2" s="2" t="s">
        <v>6</v>
      </c>
      <c r="B2" s="2" t="s">
        <v>7</v>
      </c>
      <c r="C2" s="3" t="s">
        <v>8</v>
      </c>
      <c r="D2" s="2" t="s">
        <v>9</v>
      </c>
      <c r="E2" s="2" t="n">
        <v>5</v>
      </c>
      <c r="F2" s="2" t="n">
        <v>1</v>
      </c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</row>
    <row r="5" customFormat="false" ht="15" hidden="false" customHeight="true" outlineLevel="0" collapsed="false">
      <c r="A5" s="2"/>
      <c r="B5" s="2"/>
      <c r="C5" s="3"/>
      <c r="D5" s="3"/>
      <c r="E5" s="3"/>
      <c r="F5" s="3"/>
    </row>
    <row r="6" customFormat="false" ht="15" hidden="false" customHeight="true" outlineLevel="0" collapsed="false">
      <c r="A6" s="2"/>
      <c r="B6" s="2"/>
      <c r="C6" s="3" t="s">
        <v>10</v>
      </c>
      <c r="D6" s="2" t="s">
        <v>9</v>
      </c>
      <c r="E6" s="2" t="n">
        <v>3</v>
      </c>
      <c r="F6" s="2" t="n">
        <v>1</v>
      </c>
    </row>
    <row r="7" customFormat="false" ht="15" hidden="false" customHeight="true" outlineLevel="0" collapsed="false">
      <c r="A7" s="2"/>
      <c r="B7" s="2"/>
      <c r="C7" s="2"/>
      <c r="D7" s="2"/>
      <c r="E7" s="2"/>
      <c r="F7" s="2"/>
    </row>
    <row r="8" customFormat="false" ht="15" hidden="false" customHeight="true" outlineLevel="0" collapsed="false">
      <c r="A8" s="2"/>
      <c r="B8" s="2"/>
      <c r="C8" s="2"/>
      <c r="D8" s="2"/>
      <c r="E8" s="2"/>
      <c r="F8" s="2"/>
    </row>
    <row r="9" customFormat="false" ht="15" hidden="false" customHeight="true" outlineLevel="0" collapsed="false">
      <c r="A9" s="2"/>
      <c r="B9" s="2"/>
      <c r="C9" s="3"/>
      <c r="D9" s="3"/>
      <c r="E9" s="3"/>
      <c r="F9" s="3"/>
    </row>
    <row r="10" customFormat="false" ht="15" hidden="false" customHeight="true" outlineLevel="0" collapsed="false">
      <c r="A10" s="2"/>
      <c r="B10" s="2"/>
      <c r="C10" s="3" t="s">
        <v>11</v>
      </c>
      <c r="D10" s="2" t="s">
        <v>9</v>
      </c>
      <c r="E10" s="2" t="n">
        <v>8</v>
      </c>
      <c r="F10" s="2" t="n">
        <v>2</v>
      </c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</row>
    <row r="14" customFormat="false" ht="15" hidden="false" customHeight="true" outlineLevel="0" collapsed="false">
      <c r="A14" s="2"/>
      <c r="B14" s="2" t="s">
        <v>12</v>
      </c>
      <c r="C14" s="3" t="s">
        <v>13</v>
      </c>
      <c r="D14" s="2" t="s">
        <v>9</v>
      </c>
      <c r="E14" s="2" t="n">
        <v>8</v>
      </c>
      <c r="F14" s="2" t="n">
        <v>3</v>
      </c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</row>
    <row r="17" customFormat="false" ht="15" hidden="false" customHeight="true" outlineLevel="0" collapsed="false">
      <c r="A17" s="2"/>
      <c r="B17" s="2"/>
      <c r="C17" s="3"/>
      <c r="D17" s="3"/>
      <c r="E17" s="3"/>
      <c r="F17" s="3"/>
    </row>
    <row r="18" customFormat="false" ht="15" hidden="false" customHeight="true" outlineLevel="0" collapsed="false">
      <c r="A18" s="2"/>
      <c r="B18" s="2"/>
      <c r="C18" s="3" t="s">
        <v>14</v>
      </c>
      <c r="D18" s="2" t="s">
        <v>9</v>
      </c>
      <c r="E18" s="2" t="n">
        <v>5</v>
      </c>
      <c r="F18" s="2" t="n">
        <v>3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</row>
    <row r="20" customFormat="false" ht="15" hidden="false" customHeight="true" outlineLevel="0" collapsed="false">
      <c r="A20" s="2"/>
      <c r="B20" s="2"/>
      <c r="C20" s="3"/>
      <c r="D20" s="3"/>
      <c r="E20" s="3"/>
      <c r="F20" s="3"/>
    </row>
    <row r="21" customFormat="false" ht="15" hidden="false" customHeight="true" outlineLevel="0" collapsed="false">
      <c r="A21" s="2"/>
      <c r="B21" s="2"/>
      <c r="C21" s="3" t="s">
        <v>15</v>
      </c>
      <c r="D21" s="2" t="s">
        <v>9</v>
      </c>
      <c r="E21" s="2" t="n">
        <v>8</v>
      </c>
      <c r="F21" s="2" t="n">
        <v>4</v>
      </c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</row>
    <row r="25" customFormat="false" ht="15" hidden="false" customHeight="true" outlineLevel="0" collapsed="false">
      <c r="A25" s="2"/>
      <c r="B25" s="2" t="s">
        <v>16</v>
      </c>
      <c r="C25" s="3" t="s">
        <v>17</v>
      </c>
      <c r="D25" s="2" t="s">
        <v>9</v>
      </c>
      <c r="E25" s="2" t="n">
        <v>5</v>
      </c>
      <c r="F25" s="2" t="n">
        <v>4</v>
      </c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</row>
    <row r="27" customFormat="false" ht="15" hidden="false" customHeight="true" outlineLevel="0" collapsed="false">
      <c r="A27" s="2"/>
      <c r="B27" s="2"/>
      <c r="C27" s="3"/>
      <c r="D27" s="3"/>
      <c r="E27" s="3"/>
      <c r="F27" s="3"/>
    </row>
    <row r="28" customFormat="false" ht="15" hidden="false" customHeight="true" outlineLevel="0" collapsed="false">
      <c r="A28" s="2"/>
      <c r="B28" s="2"/>
      <c r="C28" s="3" t="s">
        <v>18</v>
      </c>
      <c r="D28" s="2" t="s">
        <v>9</v>
      </c>
      <c r="E28" s="2" t="n">
        <v>5</v>
      </c>
      <c r="F28" s="2" t="n">
        <v>5</v>
      </c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</row>
    <row r="30" customFormat="false" ht="15" hidden="false" customHeight="true" outlineLevel="0" collapsed="false">
      <c r="A30" s="2"/>
      <c r="B30" s="2"/>
      <c r="C30" s="3"/>
      <c r="D30" s="3"/>
      <c r="E30" s="3"/>
      <c r="F30" s="3"/>
    </row>
    <row r="31" customFormat="false" ht="15" hidden="false" customHeight="true" outlineLevel="0" collapsed="false">
      <c r="A31" s="2"/>
      <c r="B31" s="2"/>
      <c r="C31" s="3" t="s">
        <v>19</v>
      </c>
      <c r="D31" s="2" t="s">
        <v>9</v>
      </c>
      <c r="E31" s="2" t="n">
        <v>5</v>
      </c>
      <c r="F31" s="2" t="n">
        <v>5</v>
      </c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</row>
    <row r="34" customFormat="false" ht="15" hidden="false" customHeight="true" outlineLevel="0" collapsed="false">
      <c r="A34" s="2" t="s">
        <v>20</v>
      </c>
      <c r="B34" s="2" t="s">
        <v>21</v>
      </c>
      <c r="C34" s="3" t="s">
        <v>22</v>
      </c>
      <c r="D34" s="2" t="s">
        <v>9</v>
      </c>
      <c r="E34" s="2" t="n">
        <v>5</v>
      </c>
      <c r="F34" s="2" t="n">
        <v>6</v>
      </c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</row>
    <row r="37" customFormat="false" ht="15" hidden="false" customHeight="true" outlineLevel="0" collapsed="false">
      <c r="A37" s="2"/>
      <c r="B37" s="2"/>
      <c r="C37" s="3"/>
      <c r="D37" s="3"/>
      <c r="E37" s="3"/>
      <c r="F37" s="3"/>
    </row>
    <row r="38" customFormat="false" ht="15" hidden="false" customHeight="true" outlineLevel="0" collapsed="false">
      <c r="A38" s="2"/>
      <c r="B38" s="2"/>
      <c r="C38" s="3" t="s">
        <v>23</v>
      </c>
      <c r="D38" s="2" t="s">
        <v>9</v>
      </c>
      <c r="E38" s="2" t="n">
        <v>3</v>
      </c>
      <c r="F38" s="2" t="n">
        <v>6</v>
      </c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</row>
    <row r="41" customFormat="false" ht="15" hidden="false" customHeight="true" outlineLevel="0" collapsed="false">
      <c r="A41" s="2"/>
      <c r="B41" s="2" t="s">
        <v>24</v>
      </c>
      <c r="C41" s="3" t="s">
        <v>25</v>
      </c>
      <c r="D41" s="2" t="s">
        <v>9</v>
      </c>
      <c r="E41" s="2" t="n">
        <v>8</v>
      </c>
      <c r="F41" s="2" t="n">
        <v>7</v>
      </c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</row>
    <row r="44" customFormat="false" ht="15" hidden="false" customHeight="true" outlineLevel="0" collapsed="false">
      <c r="A44" s="2"/>
      <c r="B44" s="2"/>
      <c r="C44" s="3"/>
      <c r="D44" s="3"/>
      <c r="E44" s="3"/>
      <c r="F44" s="3"/>
    </row>
    <row r="45" customFormat="false" ht="15" hidden="false" customHeight="true" outlineLevel="0" collapsed="false">
      <c r="A45" s="2"/>
      <c r="B45" s="2"/>
      <c r="C45" s="3" t="s">
        <v>26</v>
      </c>
      <c r="D45" s="2" t="s">
        <v>9</v>
      </c>
      <c r="E45" s="2" t="n">
        <v>5</v>
      </c>
      <c r="F45" s="2" t="n">
        <v>7</v>
      </c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</row>
    <row r="47" customFormat="false" ht="15" hidden="false" customHeight="true" outlineLevel="0" collapsed="false">
      <c r="A47" s="2"/>
      <c r="B47" s="2"/>
      <c r="C47" s="3"/>
      <c r="D47" s="3"/>
      <c r="E47" s="3"/>
      <c r="F47" s="3"/>
    </row>
    <row r="48" customFormat="false" ht="15" hidden="false" customHeight="true" outlineLevel="0" collapsed="false">
      <c r="A48" s="2"/>
      <c r="B48" s="2"/>
      <c r="C48" s="3" t="s">
        <v>27</v>
      </c>
      <c r="D48" s="2" t="s">
        <v>9</v>
      </c>
      <c r="E48" s="2" t="n">
        <v>5</v>
      </c>
      <c r="F48" s="2" t="n">
        <v>8</v>
      </c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</row>
    <row r="51" customFormat="false" ht="15" hidden="false" customHeight="true" outlineLevel="0" collapsed="false">
      <c r="A51" s="2"/>
      <c r="B51" s="2" t="s">
        <v>28</v>
      </c>
      <c r="C51" s="3" t="s">
        <v>29</v>
      </c>
      <c r="D51" s="2" t="s">
        <v>9</v>
      </c>
      <c r="E51" s="2" t="n">
        <v>8</v>
      </c>
      <c r="F51" s="2" t="n">
        <v>8</v>
      </c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</row>
    <row r="54" customFormat="false" ht="15" hidden="false" customHeight="true" outlineLevel="0" collapsed="false">
      <c r="A54" s="2"/>
      <c r="B54" s="2"/>
      <c r="C54" s="3"/>
      <c r="D54" s="3"/>
      <c r="E54" s="3"/>
      <c r="F54" s="3"/>
    </row>
    <row r="55" customFormat="false" ht="15" hidden="false" customHeight="true" outlineLevel="0" collapsed="false">
      <c r="A55" s="2"/>
      <c r="B55" s="2"/>
      <c r="C55" s="3" t="s">
        <v>30</v>
      </c>
      <c r="D55" s="2" t="s">
        <v>9</v>
      </c>
      <c r="E55" s="2" t="n">
        <v>5</v>
      </c>
      <c r="F55" s="2" t="n">
        <v>9</v>
      </c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</row>
    <row r="58" customFormat="false" ht="15" hidden="false" customHeight="true" outlineLevel="0" collapsed="false">
      <c r="A58" s="2"/>
      <c r="B58" s="2" t="s">
        <v>31</v>
      </c>
      <c r="C58" s="3" t="s">
        <v>32</v>
      </c>
      <c r="D58" s="2" t="s">
        <v>9</v>
      </c>
      <c r="E58" s="2" t="n">
        <v>5</v>
      </c>
      <c r="F58" s="2" t="n">
        <v>9</v>
      </c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</row>
    <row r="62" customFormat="false" ht="15" hidden="false" customHeight="true" outlineLevel="0" collapsed="false">
      <c r="A62" s="2" t="s">
        <v>6</v>
      </c>
      <c r="B62" s="2" t="s">
        <v>7</v>
      </c>
      <c r="C62" s="3" t="s">
        <v>33</v>
      </c>
      <c r="D62" s="2" t="s">
        <v>34</v>
      </c>
      <c r="E62" s="2" t="n">
        <v>3</v>
      </c>
      <c r="F62" s="2" t="n">
        <v>9</v>
      </c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</row>
    <row r="64" customFormat="false" ht="15" hidden="false" customHeight="true" outlineLevel="0" collapsed="false">
      <c r="A64" s="2"/>
      <c r="B64" s="2"/>
      <c r="C64" s="3"/>
      <c r="D64" s="3"/>
      <c r="E64" s="3"/>
      <c r="F64" s="3"/>
    </row>
    <row r="65" customFormat="false" ht="15" hidden="false" customHeight="true" outlineLevel="0" collapsed="false">
      <c r="A65" s="2"/>
      <c r="B65" s="2"/>
      <c r="C65" s="3" t="s">
        <v>35</v>
      </c>
      <c r="D65" s="2" t="s">
        <v>34</v>
      </c>
      <c r="E65" s="2" t="n">
        <v>8</v>
      </c>
      <c r="F65" s="2" t="n">
        <v>10</v>
      </c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</row>
    <row r="69" customFormat="false" ht="15" hidden="false" customHeight="true" outlineLevel="0" collapsed="false">
      <c r="A69" s="2"/>
      <c r="B69" s="2" t="s">
        <v>12</v>
      </c>
      <c r="C69" s="3" t="s">
        <v>36</v>
      </c>
      <c r="D69" s="2" t="s">
        <v>34</v>
      </c>
      <c r="E69" s="2" t="n">
        <v>5</v>
      </c>
      <c r="F69" s="2" t="n">
        <v>10</v>
      </c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</row>
    <row r="72" customFormat="false" ht="15" hidden="false" customHeight="true" outlineLevel="0" collapsed="false">
      <c r="A72" s="2"/>
      <c r="B72" s="2" t="s">
        <v>16</v>
      </c>
      <c r="C72" s="3" t="s">
        <v>37</v>
      </c>
      <c r="D72" s="2" t="s">
        <v>34</v>
      </c>
      <c r="E72" s="2" t="n">
        <v>5</v>
      </c>
      <c r="F72" s="2" t="n">
        <v>11</v>
      </c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</row>
    <row r="75" customFormat="false" ht="15" hidden="false" customHeight="true" outlineLevel="0" collapsed="false">
      <c r="A75" s="2"/>
      <c r="B75" s="2" t="s">
        <v>38</v>
      </c>
      <c r="C75" s="3" t="s">
        <v>39</v>
      </c>
      <c r="D75" s="2" t="s">
        <v>34</v>
      </c>
      <c r="E75" s="2" t="n">
        <v>3</v>
      </c>
      <c r="F75" s="2" t="n">
        <v>11</v>
      </c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</row>
    <row r="77" customFormat="false" ht="15" hidden="false" customHeight="true" outlineLevel="0" collapsed="false">
      <c r="A77" s="2"/>
      <c r="B77" s="2"/>
      <c r="C77" s="3"/>
      <c r="D77" s="3"/>
      <c r="E77" s="3"/>
      <c r="F77" s="3"/>
    </row>
    <row r="78" customFormat="false" ht="15" hidden="false" customHeight="true" outlineLevel="0" collapsed="false">
      <c r="A78" s="2"/>
      <c r="B78" s="2"/>
      <c r="C78" s="3" t="s">
        <v>40</v>
      </c>
      <c r="D78" s="2" t="s">
        <v>34</v>
      </c>
      <c r="E78" s="2" t="n">
        <v>5</v>
      </c>
      <c r="F78" s="2" t="n">
        <v>11</v>
      </c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</row>
    <row r="81" customFormat="false" ht="15" hidden="false" customHeight="true" outlineLevel="0" collapsed="false">
      <c r="A81" s="2" t="s">
        <v>20</v>
      </c>
      <c r="B81" s="2" t="s">
        <v>21</v>
      </c>
      <c r="C81" s="3" t="s">
        <v>41</v>
      </c>
      <c r="D81" s="2" t="s">
        <v>34</v>
      </c>
      <c r="E81" s="2" t="n">
        <v>3</v>
      </c>
      <c r="F81" s="2" t="n">
        <v>12</v>
      </c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</row>
    <row r="84" customFormat="false" ht="15" hidden="false" customHeight="true" outlineLevel="0" collapsed="false">
      <c r="A84" s="2"/>
      <c r="B84" s="2" t="s">
        <v>24</v>
      </c>
      <c r="C84" s="3" t="s">
        <v>42</v>
      </c>
      <c r="D84" s="2" t="s">
        <v>34</v>
      </c>
      <c r="E84" s="2" t="n">
        <v>3</v>
      </c>
      <c r="F84" s="2" t="n">
        <v>12</v>
      </c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</row>
    <row r="87" customFormat="false" ht="15" hidden="false" customHeight="true" outlineLevel="0" collapsed="false">
      <c r="A87" s="2"/>
      <c r="B87" s="2" t="s">
        <v>28</v>
      </c>
      <c r="C87" s="3" t="s">
        <v>43</v>
      </c>
      <c r="D87" s="2" t="s">
        <v>34</v>
      </c>
      <c r="E87" s="2" t="n">
        <v>5</v>
      </c>
      <c r="F87" s="2" t="n">
        <v>12</v>
      </c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</row>
    <row r="90" customFormat="false" ht="15" hidden="false" customHeight="true" outlineLevel="0" collapsed="false">
      <c r="A90" s="2"/>
      <c r="B90" s="2" t="s">
        <v>31</v>
      </c>
      <c r="C90" s="3" t="s">
        <v>44</v>
      </c>
      <c r="D90" s="2" t="s">
        <v>34</v>
      </c>
      <c r="E90" s="2" t="n">
        <v>3</v>
      </c>
      <c r="F90" s="2" t="n">
        <v>13</v>
      </c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</row>
    <row r="93" customFormat="false" ht="15" hidden="false" customHeight="true" outlineLevel="0" collapsed="false">
      <c r="A93" s="2" t="s">
        <v>6</v>
      </c>
      <c r="B93" s="2" t="s">
        <v>12</v>
      </c>
      <c r="C93" s="3" t="s">
        <v>45</v>
      </c>
      <c r="D93" s="2" t="s">
        <v>46</v>
      </c>
      <c r="E93" s="2" t="n">
        <v>3</v>
      </c>
      <c r="F93" s="2" t="n">
        <v>13</v>
      </c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</row>
    <row r="96" customFormat="false" ht="15" hidden="false" customHeight="true" outlineLevel="0" collapsed="false">
      <c r="A96" s="2"/>
      <c r="B96" s="2" t="s">
        <v>16</v>
      </c>
      <c r="C96" s="3" t="s">
        <v>47</v>
      </c>
      <c r="D96" s="2" t="s">
        <v>46</v>
      </c>
      <c r="E96" s="2" t="n">
        <v>3</v>
      </c>
      <c r="F96" s="2" t="n">
        <v>13</v>
      </c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</row>
    <row r="99" customFormat="false" ht="15" hidden="false" customHeight="true" outlineLevel="0" collapsed="false">
      <c r="A99" s="2"/>
      <c r="B99" s="2" t="s">
        <v>38</v>
      </c>
      <c r="C99" s="3" t="s">
        <v>48</v>
      </c>
      <c r="D99" s="2" t="s">
        <v>46</v>
      </c>
      <c r="E99" s="2" t="n">
        <v>3</v>
      </c>
      <c r="F99" s="2" t="n">
        <v>13</v>
      </c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</row>
    <row r="101" customFormat="false" ht="15" hidden="false" customHeight="true" outlineLevel="0" collapsed="false">
      <c r="A101" s="2"/>
      <c r="B101" s="2"/>
      <c r="C101" s="3"/>
      <c r="D101" s="3"/>
      <c r="E101" s="3"/>
      <c r="F101" s="3"/>
    </row>
    <row r="102" customFormat="false" ht="15" hidden="false" customHeight="true" outlineLevel="0" collapsed="false">
      <c r="A102" s="2"/>
      <c r="B102" s="2"/>
      <c r="C102" s="3" t="s">
        <v>49</v>
      </c>
      <c r="D102" s="2" t="s">
        <v>46</v>
      </c>
      <c r="E102" s="2" t="n">
        <v>3</v>
      </c>
      <c r="F102" s="2" t="n">
        <v>14</v>
      </c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</row>
    <row r="105" customFormat="false" ht="15" hidden="false" customHeight="true" outlineLevel="0" collapsed="false">
      <c r="A105" s="2" t="s">
        <v>20</v>
      </c>
      <c r="B105" s="2" t="s">
        <v>31</v>
      </c>
      <c r="C105" s="3" t="s">
        <v>50</v>
      </c>
      <c r="D105" s="2" t="s">
        <v>46</v>
      </c>
      <c r="E105" s="2" t="n">
        <v>3</v>
      </c>
      <c r="F105" s="2" t="n">
        <v>14</v>
      </c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</row>
    <row r="108" customFormat="false" ht="15.75" hidden="false" customHeight="true" outlineLevel="0" collapsed="false">
      <c r="A108" s="4"/>
      <c r="B108" s="4"/>
      <c r="C108" s="5" t="s">
        <v>51</v>
      </c>
      <c r="D108" s="4"/>
      <c r="E108" s="5" t="n">
        <f aca="false">SUM(E2:E107)</f>
        <v>154</v>
      </c>
      <c r="F108" s="4"/>
    </row>
    <row r="109" customFormat="false" ht="15.75" hidden="false" customHeight="true" outlineLevel="0" collapsed="false"/>
    <row r="110" customFormat="false" ht="15" hidden="false" customHeight="true" outlineLevel="0" collapsed="false">
      <c r="A110" s="6" t="s">
        <v>52</v>
      </c>
      <c r="B110" s="6"/>
      <c r="C110" s="6"/>
      <c r="D110" s="6"/>
      <c r="E110" s="6"/>
      <c r="F110" s="6"/>
    </row>
    <row r="111" customFormat="false" ht="15.75" hidden="false" customHeight="true" outlineLevel="0" collapsed="false">
      <c r="A111" s="2" t="s">
        <v>53</v>
      </c>
      <c r="B111" s="2" t="s">
        <v>54</v>
      </c>
      <c r="C111" s="2" t="s">
        <v>54</v>
      </c>
      <c r="D111" s="2"/>
      <c r="E111" s="2"/>
      <c r="F111" s="2"/>
    </row>
    <row r="112" customFormat="false" ht="15.75" hidden="false" customHeight="true" outlineLevel="0" collapsed="false">
      <c r="A112" s="2" t="s">
        <v>55</v>
      </c>
      <c r="B112" s="2" t="s">
        <v>54</v>
      </c>
      <c r="C112" s="2" t="s">
        <v>54</v>
      </c>
      <c r="D112" s="2"/>
      <c r="E112" s="2"/>
      <c r="F112" s="2"/>
    </row>
    <row r="113" customFormat="false" ht="15.75" hidden="false" customHeight="true" outlineLevel="0" collapsed="false">
      <c r="A113" s="2" t="s">
        <v>56</v>
      </c>
      <c r="B113" s="2" t="s">
        <v>54</v>
      </c>
      <c r="C113" s="2" t="s">
        <v>54</v>
      </c>
      <c r="D113" s="2"/>
      <c r="E113" s="2"/>
      <c r="F113" s="2"/>
    </row>
    <row r="114" customFormat="false" ht="15.75" hidden="false" customHeight="true" outlineLevel="0" collapsed="false">
      <c r="A114" s="2" t="s">
        <v>57</v>
      </c>
      <c r="B114" s="2" t="s">
        <v>54</v>
      </c>
      <c r="C114" s="2" t="s">
        <v>54</v>
      </c>
      <c r="D114" s="2"/>
      <c r="E114" s="2"/>
      <c r="F114" s="2"/>
    </row>
    <row r="115" customFormat="false" ht="15.75" hidden="false" customHeight="true" outlineLevel="0" collapsed="false">
      <c r="A115" s="2" t="s">
        <v>58</v>
      </c>
      <c r="B115" s="2" t="s">
        <v>54</v>
      </c>
      <c r="C115" s="2" t="s">
        <v>54</v>
      </c>
      <c r="D115" s="2"/>
      <c r="E115" s="2"/>
      <c r="F115" s="2"/>
    </row>
    <row r="116" customFormat="false" ht="15.75" hidden="false" customHeight="true" outlineLevel="0" collapsed="false">
      <c r="A116" s="2" t="s">
        <v>59</v>
      </c>
      <c r="B116" s="2" t="s">
        <v>54</v>
      </c>
      <c r="C116" s="2" t="s">
        <v>54</v>
      </c>
      <c r="D116" s="2"/>
      <c r="E116" s="2"/>
      <c r="F116" s="2"/>
    </row>
    <row r="117" customFormat="false" ht="15.75" hidden="false" customHeight="true" outlineLevel="0" collapsed="false"/>
    <row r="118" customFormat="false" ht="15.75" hidden="false" customHeight="true" outlineLevel="0" collapsed="false">
      <c r="A118" s="7"/>
    </row>
    <row r="119" customFormat="false" ht="15.75" hidden="false" customHeight="true" outlineLevel="0" collapsed="false">
      <c r="A119" s="8"/>
    </row>
    <row r="120" customFormat="false" ht="15.75" hidden="false" customHeight="true" outlineLevel="0" collapsed="false">
      <c r="A120" s="8"/>
    </row>
    <row r="121" customFormat="false" ht="15.75" hidden="false" customHeight="true" outlineLevel="0" collapsed="false">
      <c r="A121" s="8"/>
    </row>
    <row r="122" customFormat="false" ht="15.75" hidden="false" customHeight="true" outlineLevel="0" collapsed="false">
      <c r="A122" s="8"/>
    </row>
    <row r="123" customFormat="false" ht="15.75" hidden="false" customHeight="true" outlineLevel="0" collapsed="false">
      <c r="A123" s="8"/>
    </row>
    <row r="124" customFormat="false" ht="15.75" hidden="false" customHeight="true" outlineLevel="0" collapsed="false">
      <c r="A124" s="8"/>
    </row>
    <row r="125" customFormat="false" ht="15.75" hidden="false" customHeight="true" outlineLevel="0" collapsed="false">
      <c r="A125" s="8"/>
    </row>
    <row r="126" customFormat="false" ht="15.75" hidden="false" customHeight="true" outlineLevel="0" collapsed="false">
      <c r="A126" s="8"/>
    </row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4">
    <mergeCell ref="A2:A33"/>
    <mergeCell ref="B2:B13"/>
    <mergeCell ref="C2:C5"/>
    <mergeCell ref="D2:D5"/>
    <mergeCell ref="E2:E5"/>
    <mergeCell ref="F2:F5"/>
    <mergeCell ref="C6:C9"/>
    <mergeCell ref="D6:D9"/>
    <mergeCell ref="E6:E9"/>
    <mergeCell ref="F6:F9"/>
    <mergeCell ref="C10:C13"/>
    <mergeCell ref="D10:D13"/>
    <mergeCell ref="E10:E13"/>
    <mergeCell ref="F10:F13"/>
    <mergeCell ref="B14:B24"/>
    <mergeCell ref="C14:C17"/>
    <mergeCell ref="D14:D17"/>
    <mergeCell ref="E14:E17"/>
    <mergeCell ref="F14:F17"/>
    <mergeCell ref="C18:C20"/>
    <mergeCell ref="D18:D20"/>
    <mergeCell ref="E18:E20"/>
    <mergeCell ref="F18:F20"/>
    <mergeCell ref="C21:C24"/>
    <mergeCell ref="D21:D24"/>
    <mergeCell ref="E21:E24"/>
    <mergeCell ref="F21:F24"/>
    <mergeCell ref="B25:B33"/>
    <mergeCell ref="C25:C27"/>
    <mergeCell ref="D25:D27"/>
    <mergeCell ref="E25:E27"/>
    <mergeCell ref="F25:F27"/>
    <mergeCell ref="C28:C30"/>
    <mergeCell ref="D28:D30"/>
    <mergeCell ref="E28:E30"/>
    <mergeCell ref="F28:F30"/>
    <mergeCell ref="C31:C33"/>
    <mergeCell ref="D31:D33"/>
    <mergeCell ref="E31:E33"/>
    <mergeCell ref="F31:F33"/>
    <mergeCell ref="A34:A61"/>
    <mergeCell ref="B34:B40"/>
    <mergeCell ref="C34:C37"/>
    <mergeCell ref="D34:D37"/>
    <mergeCell ref="E34:E37"/>
    <mergeCell ref="F34:F37"/>
    <mergeCell ref="C38:C40"/>
    <mergeCell ref="D38:D40"/>
    <mergeCell ref="E38:E40"/>
    <mergeCell ref="F38:F40"/>
    <mergeCell ref="B41:B50"/>
    <mergeCell ref="C41:C44"/>
    <mergeCell ref="D41:D44"/>
    <mergeCell ref="E41:E44"/>
    <mergeCell ref="F41:F44"/>
    <mergeCell ref="C45:C47"/>
    <mergeCell ref="D45:D47"/>
    <mergeCell ref="E45:E47"/>
    <mergeCell ref="F45:F47"/>
    <mergeCell ref="C48:C50"/>
    <mergeCell ref="D48:D50"/>
    <mergeCell ref="E48:E50"/>
    <mergeCell ref="F48:F50"/>
    <mergeCell ref="B51:B57"/>
    <mergeCell ref="C51:C54"/>
    <mergeCell ref="D51:D54"/>
    <mergeCell ref="E51:E54"/>
    <mergeCell ref="F51:F54"/>
    <mergeCell ref="C55:C57"/>
    <mergeCell ref="D55:D57"/>
    <mergeCell ref="E55:E57"/>
    <mergeCell ref="F55:F57"/>
    <mergeCell ref="B58:B61"/>
    <mergeCell ref="C58:C61"/>
    <mergeCell ref="D58:D61"/>
    <mergeCell ref="E58:E61"/>
    <mergeCell ref="F58:F61"/>
    <mergeCell ref="A62:A80"/>
    <mergeCell ref="B62:B68"/>
    <mergeCell ref="C62:C64"/>
    <mergeCell ref="D62:D64"/>
    <mergeCell ref="E62:E64"/>
    <mergeCell ref="F62:F64"/>
    <mergeCell ref="C65:C68"/>
    <mergeCell ref="D65:D68"/>
    <mergeCell ref="E65:E68"/>
    <mergeCell ref="F65:F68"/>
    <mergeCell ref="B69:B71"/>
    <mergeCell ref="C69:C71"/>
    <mergeCell ref="D69:D71"/>
    <mergeCell ref="E69:E71"/>
    <mergeCell ref="F69:F71"/>
    <mergeCell ref="B72:B74"/>
    <mergeCell ref="C72:C74"/>
    <mergeCell ref="D72:D74"/>
    <mergeCell ref="E72:E74"/>
    <mergeCell ref="F72:F74"/>
    <mergeCell ref="B75:B80"/>
    <mergeCell ref="C75:C77"/>
    <mergeCell ref="D75:D77"/>
    <mergeCell ref="E75:E77"/>
    <mergeCell ref="F75:F77"/>
    <mergeCell ref="C78:C80"/>
    <mergeCell ref="D78:D80"/>
    <mergeCell ref="E78:E80"/>
    <mergeCell ref="F78:F80"/>
    <mergeCell ref="A81:A92"/>
    <mergeCell ref="B81:B83"/>
    <mergeCell ref="C81:C83"/>
    <mergeCell ref="D81:D83"/>
    <mergeCell ref="E81:E83"/>
    <mergeCell ref="F81:F83"/>
    <mergeCell ref="B84:B86"/>
    <mergeCell ref="C84:C86"/>
    <mergeCell ref="D84:D86"/>
    <mergeCell ref="E84:E86"/>
    <mergeCell ref="F84:F86"/>
    <mergeCell ref="B87:B89"/>
    <mergeCell ref="C87:C89"/>
    <mergeCell ref="D87:D89"/>
    <mergeCell ref="E87:E89"/>
    <mergeCell ref="F87:F89"/>
    <mergeCell ref="B90:B92"/>
    <mergeCell ref="C90:C92"/>
    <mergeCell ref="D90:D92"/>
    <mergeCell ref="E90:E92"/>
    <mergeCell ref="F90:F92"/>
    <mergeCell ref="A93:A104"/>
    <mergeCell ref="B93:B95"/>
    <mergeCell ref="C93:C95"/>
    <mergeCell ref="D93:D95"/>
    <mergeCell ref="E93:E95"/>
    <mergeCell ref="F93:F95"/>
    <mergeCell ref="B96:B98"/>
    <mergeCell ref="C96:C98"/>
    <mergeCell ref="D96:D98"/>
    <mergeCell ref="E96:E98"/>
    <mergeCell ref="F96:F98"/>
    <mergeCell ref="B99:B104"/>
    <mergeCell ref="C99:C101"/>
    <mergeCell ref="D99:D101"/>
    <mergeCell ref="E99:E101"/>
    <mergeCell ref="F99:F101"/>
    <mergeCell ref="C102:C104"/>
    <mergeCell ref="D102:D104"/>
    <mergeCell ref="E102:E104"/>
    <mergeCell ref="F102:F104"/>
    <mergeCell ref="A105:A107"/>
    <mergeCell ref="B105:B107"/>
    <mergeCell ref="C105:C107"/>
    <mergeCell ref="D105:D107"/>
    <mergeCell ref="E105:E107"/>
    <mergeCell ref="F105:F107"/>
    <mergeCell ref="A110:F1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54"/>
    <col collapsed="false" customWidth="true" hidden="false" outlineLevel="0" max="5" min="4" style="0" width="16"/>
    <col collapsed="false" customWidth="true" hidden="false" outlineLevel="0" max="26" min="6" style="0" width="8.71"/>
  </cols>
  <sheetData>
    <row r="1" customFormat="false" ht="15" hidden="false" customHeight="true" outlineLevel="0" collapsed="false">
      <c r="A1" s="9" t="s">
        <v>60</v>
      </c>
      <c r="B1" s="9"/>
      <c r="C1" s="9"/>
      <c r="D1" s="9"/>
      <c r="E1" s="9"/>
    </row>
    <row r="2" customFormat="false" ht="15" hidden="false" customHeight="true" outlineLevel="0" collapsed="false">
      <c r="A2" s="10" t="s">
        <v>61</v>
      </c>
      <c r="B2" s="3" t="s">
        <v>62</v>
      </c>
      <c r="C2" s="3"/>
      <c r="D2" s="3"/>
      <c r="E2" s="3"/>
    </row>
    <row r="3" customFormat="false" ht="15" hidden="false" customHeight="true" outlineLevel="0" collapsed="false">
      <c r="A3" s="10" t="s">
        <v>63</v>
      </c>
      <c r="B3" s="3" t="s">
        <v>64</v>
      </c>
      <c r="C3" s="3"/>
      <c r="D3" s="3"/>
      <c r="E3" s="3"/>
    </row>
    <row r="4" customFormat="false" ht="15" hidden="false" customHeight="true" outlineLevel="0" collapsed="false">
      <c r="A4" s="10" t="s">
        <v>65</v>
      </c>
      <c r="B4" s="3" t="s">
        <v>66</v>
      </c>
      <c r="C4" s="3"/>
      <c r="D4" s="3"/>
      <c r="E4" s="3"/>
    </row>
    <row r="5" customFormat="false" ht="15" hidden="false" customHeight="true" outlineLevel="0" collapsed="false">
      <c r="A5" s="10" t="s">
        <v>67</v>
      </c>
      <c r="B5" s="3" t="s">
        <v>68</v>
      </c>
      <c r="C5" s="3"/>
      <c r="D5" s="3"/>
      <c r="E5" s="3"/>
    </row>
    <row r="7" customFormat="false" ht="15" hidden="false" customHeight="false" outlineLevel="0" collapsed="false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</row>
    <row r="8" customFormat="false" ht="15" hidden="false" customHeight="true" outlineLevel="0" collapsed="false">
      <c r="A8" s="3" t="s">
        <v>8</v>
      </c>
      <c r="B8" s="2" t="n">
        <v>5</v>
      </c>
      <c r="C8" s="3" t="s">
        <v>74</v>
      </c>
      <c r="D8" s="11"/>
      <c r="E8" s="11" t="s">
        <v>75</v>
      </c>
    </row>
    <row r="9" customFormat="false" ht="15" hidden="false" customHeight="false" outlineLevel="0" collapsed="false">
      <c r="A9" s="3"/>
      <c r="B9" s="3"/>
      <c r="C9" s="3" t="s">
        <v>76</v>
      </c>
      <c r="D9" s="11"/>
      <c r="E9" s="11" t="s">
        <v>75</v>
      </c>
    </row>
    <row r="10" customFormat="false" ht="15" hidden="false" customHeight="false" outlineLevel="0" collapsed="false">
      <c r="A10" s="3"/>
      <c r="B10" s="3"/>
      <c r="C10" s="3" t="s">
        <v>77</v>
      </c>
      <c r="D10" s="11"/>
      <c r="E10" s="11" t="s">
        <v>75</v>
      </c>
    </row>
    <row r="11" customFormat="false" ht="15" hidden="false" customHeight="false" outlineLevel="0" collapsed="false">
      <c r="A11" s="3"/>
      <c r="B11" s="3"/>
      <c r="C11" s="3" t="s">
        <v>78</v>
      </c>
      <c r="D11" s="11"/>
      <c r="E11" s="11" t="s">
        <v>75</v>
      </c>
    </row>
    <row r="12" customFormat="false" ht="15" hidden="false" customHeight="true" outlineLevel="0" collapsed="false">
      <c r="A12" s="3" t="s">
        <v>10</v>
      </c>
      <c r="B12" s="2" t="n">
        <v>3</v>
      </c>
      <c r="C12" s="3" t="s">
        <v>79</v>
      </c>
      <c r="D12" s="11"/>
      <c r="E12" s="11" t="s">
        <v>75</v>
      </c>
    </row>
    <row r="13" customFormat="false" ht="15" hidden="false" customHeight="false" outlineLevel="0" collapsed="false">
      <c r="A13" s="3"/>
      <c r="B13" s="3"/>
      <c r="C13" s="3" t="s">
        <v>76</v>
      </c>
      <c r="D13" s="11"/>
      <c r="E13" s="11" t="s">
        <v>75</v>
      </c>
    </row>
    <row r="14" customFormat="false" ht="15" hidden="false" customHeight="false" outlineLevel="0" collapsed="false">
      <c r="A14" s="3"/>
      <c r="B14" s="3"/>
      <c r="C14" s="3" t="s">
        <v>80</v>
      </c>
      <c r="D14" s="11"/>
      <c r="E14" s="11" t="s">
        <v>75</v>
      </c>
    </row>
    <row r="15" customFormat="false" ht="15" hidden="false" customHeight="false" outlineLevel="0" collapsed="false">
      <c r="A15" s="3"/>
      <c r="B15" s="3"/>
      <c r="C15" s="3" t="s">
        <v>81</v>
      </c>
      <c r="D15" s="11"/>
      <c r="E15" s="11" t="s">
        <v>75</v>
      </c>
    </row>
    <row r="16" customFormat="false" ht="15" hidden="false" customHeight="false" outlineLevel="0" collapsed="false">
      <c r="A16" s="6" t="s">
        <v>82</v>
      </c>
      <c r="B16" s="5" t="n">
        <f aca="false">SUM(B8:B15)</f>
        <v>8</v>
      </c>
      <c r="C16" s="4"/>
      <c r="D16" s="4"/>
      <c r="E16" s="4"/>
    </row>
    <row r="18" customFormat="false" ht="15" hidden="false" customHeight="true" outlineLevel="0" collapsed="false">
      <c r="A18" s="9" t="s">
        <v>83</v>
      </c>
      <c r="B18" s="9"/>
      <c r="C18" s="9"/>
      <c r="D18" s="9"/>
      <c r="E18" s="9"/>
    </row>
    <row r="19" customFormat="false" ht="26.85" hidden="false" customHeight="false" outlineLevel="0" collapsed="false">
      <c r="A19" s="1" t="s">
        <v>63</v>
      </c>
      <c r="B19" s="1" t="s">
        <v>84</v>
      </c>
      <c r="C19" s="1" t="s">
        <v>85</v>
      </c>
      <c r="D19" s="1" t="s">
        <v>65</v>
      </c>
      <c r="E19" s="1" t="s">
        <v>86</v>
      </c>
    </row>
    <row r="20" customFormat="false" ht="23.85" hidden="false" customHeight="false" outlineLevel="0" collapsed="false">
      <c r="A20" s="2" t="s">
        <v>87</v>
      </c>
      <c r="B20" s="2" t="s">
        <v>88</v>
      </c>
      <c r="C20" s="2" t="n">
        <f aca="false">SUMIFS('Product Backlog'!$E$2:$E$107,'Product Backlog'!$F$2:$F$107,1)</f>
        <v>8</v>
      </c>
      <c r="D20" s="2" t="n">
        <v>13</v>
      </c>
      <c r="E20" s="3" t="s">
        <v>7</v>
      </c>
    </row>
    <row r="21" customFormat="false" ht="15.75" hidden="false" customHeight="true" outlineLevel="0" collapsed="false">
      <c r="A21" s="2" t="s">
        <v>89</v>
      </c>
      <c r="B21" s="2" t="s">
        <v>88</v>
      </c>
      <c r="C21" s="2" t="n">
        <f aca="false">SUMIFS('Product Backlog'!$E$2:$E$107,'Product Backlog'!$F$2:$F$107,2)</f>
        <v>8</v>
      </c>
      <c r="D21" s="2" t="n">
        <v>13</v>
      </c>
      <c r="E21" s="3" t="s">
        <v>7</v>
      </c>
    </row>
    <row r="22" customFormat="false" ht="15.75" hidden="false" customHeight="true" outlineLevel="0" collapsed="false">
      <c r="A22" s="2" t="s">
        <v>90</v>
      </c>
      <c r="B22" s="2" t="s">
        <v>88</v>
      </c>
      <c r="C22" s="2" t="n">
        <f aca="false">SUMIFS('Product Backlog'!$E$2:$E$107,'Product Backlog'!$F$2:$F$107,3)</f>
        <v>13</v>
      </c>
      <c r="D22" s="2" t="n">
        <v>13</v>
      </c>
      <c r="E22" s="3" t="s">
        <v>12</v>
      </c>
    </row>
    <row r="23" customFormat="false" ht="15.75" hidden="false" customHeight="true" outlineLevel="0" collapsed="false">
      <c r="A23" s="2" t="s">
        <v>91</v>
      </c>
      <c r="B23" s="2" t="s">
        <v>88</v>
      </c>
      <c r="C23" s="2" t="n">
        <f aca="false">SUMIFS('Product Backlog'!$E$2:$E$107,'Product Backlog'!$F$2:$F$107,4)</f>
        <v>13</v>
      </c>
      <c r="D23" s="2" t="n">
        <v>13</v>
      </c>
      <c r="E23" s="3" t="s">
        <v>92</v>
      </c>
    </row>
    <row r="24" customFormat="false" ht="15.75" hidden="false" customHeight="true" outlineLevel="0" collapsed="false">
      <c r="A24" s="2" t="s">
        <v>93</v>
      </c>
      <c r="B24" s="2" t="s">
        <v>88</v>
      </c>
      <c r="C24" s="2" t="n">
        <f aca="false">SUMIFS('Product Backlog'!$E$2:$E$107,'Product Backlog'!$F$2:$F$107,5)</f>
        <v>10</v>
      </c>
      <c r="D24" s="2" t="n">
        <v>13</v>
      </c>
      <c r="E24" s="3" t="s">
        <v>16</v>
      </c>
    </row>
    <row r="25" customFormat="false" ht="15.75" hidden="false" customHeight="true" outlineLevel="0" collapsed="false">
      <c r="A25" s="2" t="s">
        <v>94</v>
      </c>
      <c r="B25" s="2" t="s">
        <v>88</v>
      </c>
      <c r="C25" s="2" t="n">
        <f aca="false">SUMIFS('Product Backlog'!$E$2:$E$107,'Product Backlog'!$F$2:$F$107,6)</f>
        <v>8</v>
      </c>
      <c r="D25" s="2" t="n">
        <v>13</v>
      </c>
      <c r="E25" s="3" t="s">
        <v>21</v>
      </c>
    </row>
    <row r="26" customFormat="false" ht="15.75" hidden="false" customHeight="true" outlineLevel="0" collapsed="false">
      <c r="A26" s="2" t="s">
        <v>95</v>
      </c>
      <c r="B26" s="2" t="s">
        <v>88</v>
      </c>
      <c r="C26" s="2" t="n">
        <f aca="false">SUMIFS('Product Backlog'!$E$2:$E$107,'Product Backlog'!$F$2:$F$107,7)</f>
        <v>13</v>
      </c>
      <c r="D26" s="2" t="n">
        <v>13</v>
      </c>
      <c r="E26" s="3" t="s">
        <v>24</v>
      </c>
    </row>
    <row r="27" customFormat="false" ht="15.75" hidden="false" customHeight="true" outlineLevel="0" collapsed="false">
      <c r="A27" s="2" t="s">
        <v>96</v>
      </c>
      <c r="B27" s="2" t="s">
        <v>88</v>
      </c>
      <c r="C27" s="2" t="n">
        <f aca="false">SUMIFS('Product Backlog'!$E$2:$E$107,'Product Backlog'!$F$2:$F$107,8)</f>
        <v>13</v>
      </c>
      <c r="D27" s="2" t="n">
        <v>13</v>
      </c>
      <c r="E27" s="3" t="s">
        <v>97</v>
      </c>
    </row>
    <row r="28" customFormat="false" ht="15.75" hidden="false" customHeight="true" outlineLevel="0" collapsed="false">
      <c r="A28" s="2" t="s">
        <v>98</v>
      </c>
      <c r="B28" s="2" t="s">
        <v>88</v>
      </c>
      <c r="C28" s="2" t="n">
        <f aca="false">SUMIFS('Product Backlog'!$E$2:$E$107,'Product Backlog'!$F$2:$F$107,9)</f>
        <v>13</v>
      </c>
      <c r="D28" s="2" t="n">
        <v>13</v>
      </c>
      <c r="E28" s="3" t="s">
        <v>99</v>
      </c>
    </row>
    <row r="29" customFormat="false" ht="15.75" hidden="false" customHeight="true" outlineLevel="0" collapsed="false">
      <c r="A29" s="2" t="s">
        <v>100</v>
      </c>
      <c r="B29" s="2" t="s">
        <v>88</v>
      </c>
      <c r="C29" s="2" t="n">
        <f aca="false">SUMIFS('Product Backlog'!$E$2:$E$107,'Product Backlog'!$F$2:$F$107,10)</f>
        <v>13</v>
      </c>
      <c r="D29" s="2" t="n">
        <v>13</v>
      </c>
      <c r="E29" s="3" t="s">
        <v>101</v>
      </c>
    </row>
    <row r="30" customFormat="false" ht="15.75" hidden="false" customHeight="true" outlineLevel="0" collapsed="false">
      <c r="A30" s="2" t="s">
        <v>102</v>
      </c>
      <c r="B30" s="2" t="s">
        <v>88</v>
      </c>
      <c r="C30" s="2" t="n">
        <f aca="false">SUMIFS('Product Backlog'!$E$2:$E$107,'Product Backlog'!$F$2:$F$107,11)</f>
        <v>13</v>
      </c>
      <c r="D30" s="2" t="n">
        <v>13</v>
      </c>
      <c r="E30" s="3" t="s">
        <v>103</v>
      </c>
    </row>
    <row r="31" customFormat="false" ht="15.75" hidden="false" customHeight="true" outlineLevel="0" collapsed="false">
      <c r="A31" s="2" t="s">
        <v>104</v>
      </c>
      <c r="B31" s="2" t="s">
        <v>88</v>
      </c>
      <c r="C31" s="2" t="n">
        <f aca="false">SUMIFS('Product Backlog'!$E$2:$E$107,'Product Backlog'!$F$2:$F$107,12)</f>
        <v>11</v>
      </c>
      <c r="D31" s="2" t="n">
        <v>13</v>
      </c>
      <c r="E31" s="3" t="s">
        <v>105</v>
      </c>
    </row>
    <row r="32" customFormat="false" ht="15.75" hidden="false" customHeight="true" outlineLevel="0" collapsed="false">
      <c r="A32" s="2" t="s">
        <v>106</v>
      </c>
      <c r="B32" s="2" t="s">
        <v>88</v>
      </c>
      <c r="C32" s="2" t="n">
        <f aca="false">SUMIFS('Product Backlog'!$E$2:$E$107,'Product Backlog'!$F$2:$F$107,13)</f>
        <v>12</v>
      </c>
      <c r="D32" s="2" t="n">
        <v>13</v>
      </c>
      <c r="E32" s="3" t="s">
        <v>107</v>
      </c>
    </row>
    <row r="33" customFormat="false" ht="15.75" hidden="false" customHeight="true" outlineLevel="0" collapsed="false">
      <c r="A33" s="2" t="s">
        <v>108</v>
      </c>
      <c r="B33" s="2" t="s">
        <v>88</v>
      </c>
      <c r="C33" s="2" t="n">
        <f aca="false">SUMIFS('Product Backlog'!$E$2:$E$107,'Product Backlog'!$F$2:$F$107,14)</f>
        <v>6</v>
      </c>
      <c r="D33" s="2" t="n">
        <v>13</v>
      </c>
      <c r="E33" s="3" t="s">
        <v>109</v>
      </c>
    </row>
    <row r="34" customFormat="false" ht="15.75" hidden="false" customHeight="true" outlineLevel="0" collapsed="false">
      <c r="A34" s="5" t="s">
        <v>110</v>
      </c>
      <c r="B34" s="5" t="s">
        <v>111</v>
      </c>
      <c r="C34" s="5" t="n">
        <f aca="false">SUM(C20:C33)</f>
        <v>154</v>
      </c>
      <c r="D34" s="4"/>
      <c r="E34" s="6" t="s">
        <v>112</v>
      </c>
    </row>
    <row r="35" customFormat="false" ht="15.75" hidden="false" customHeight="true" outlineLevel="0" collapsed="false"/>
    <row r="36" customFormat="false" ht="15.75" hidden="false" customHeight="true" outlineLevel="0" collapsed="false">
      <c r="A36" s="7"/>
    </row>
    <row r="37" customFormat="false" ht="15.75" hidden="false" customHeight="true" outlineLevel="0" collapsed="false">
      <c r="A37" s="8"/>
    </row>
    <row r="38" customFormat="false" ht="15.75" hidden="false" customHeight="true" outlineLevel="0" collapsed="false">
      <c r="A38" s="8"/>
    </row>
    <row r="39" customFormat="false" ht="15.75" hidden="false" customHeight="true" outlineLevel="0" collapsed="false">
      <c r="A39" s="8"/>
    </row>
    <row r="40" customFormat="false" ht="15.75" hidden="false" customHeight="true" outlineLevel="0" collapsed="false">
      <c r="A40" s="8"/>
    </row>
    <row r="41" customFormat="false" ht="15.75" hidden="false" customHeight="true" outlineLevel="0" collapsed="false">
      <c r="A41" s="8"/>
    </row>
    <row r="42" customFormat="false" ht="15.75" hidden="false" customHeight="true" outlineLevel="0" collapsed="false">
      <c r="A42" s="8"/>
    </row>
    <row r="43" customFormat="false" ht="15.75" hidden="false" customHeight="true" outlineLevel="0" collapsed="false">
      <c r="A43" s="8"/>
    </row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A1:E1"/>
    <mergeCell ref="B2:E2"/>
    <mergeCell ref="B3:E3"/>
    <mergeCell ref="B4:E4"/>
    <mergeCell ref="B5:E5"/>
    <mergeCell ref="A8:A11"/>
    <mergeCell ref="B8:B11"/>
    <mergeCell ref="A12:A15"/>
    <mergeCell ref="B12:B15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2026-09-08T20:19:18Z</dcterms:modified>
  <cp:revision>1</cp:revision>
  <dc:subject/>
  <dc:title/>
</cp:coreProperties>
</file>